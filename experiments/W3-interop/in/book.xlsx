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Rates" sheetId="2" state="visible" r:id="rId4"/>
    <sheet name="Archive" sheetId="3" state="visible" r:id="rId5"/>
  </sheets>
  <definedNames>
    <definedName function="false" hidden="false" name="OrderQty" vbProcedure="false">Orders!$C$2:$C$5</definedName>
    <definedName function="false" hidden="false" name="taxrate" vbProcedure="false">Rates!$B$1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2" authorId="0">
      <text>
        <r>
          <rPr>
            <sz val="10"/>
            <rFont val="Arial"/>
            <family val="2"/>
          </rPr>
          <t xml:space="preserve">review this SKU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47</xdr:colOff>
                <xdr:row>1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<sst xmlns="http://schemas.openxmlformats.org/spreadsheetml/2006/main" count="33" uniqueCount="28">
  <si>
    <t xml:space="preserve">sku</t>
  </si>
  <si>
    <t xml:space="preserve">item</t>
  </si>
  <si>
    <t xml:space="preserve">qty</t>
  </si>
  <si>
    <t xml:space="preserve">unit</t>
  </si>
  <si>
    <t xml:space="preserve">region</t>
  </si>
  <si>
    <t xml:space="preserve">order_date</t>
  </si>
  <si>
    <t xml:space="preserve">line_total</t>
  </si>
  <si>
    <t xml:space="preserve">tax</t>
  </si>
  <si>
    <t xml:space="preserve">net</t>
  </si>
  <si>
    <t xml:space="preserve">flag</t>
  </si>
  <si>
    <t xml:space="preserve">disc_unit</t>
  </si>
  <si>
    <t xml:space="preserve">share</t>
  </si>
  <si>
    <t xml:space="preserve">A-1</t>
  </si>
  <si>
    <t xml:space="preserve">widget</t>
  </si>
  <si>
    <t xml:space="preserve">EMEA</t>
  </si>
  <si>
    <t xml:space="preserve">A-2</t>
  </si>
  <si>
    <t xml:space="preserve">gadget</t>
  </si>
  <si>
    <t xml:space="preserve">AMER</t>
  </si>
  <si>
    <t xml:space="preserve">A-3</t>
  </si>
  <si>
    <t xml:space="preserve">sprocket</t>
  </si>
  <si>
    <t xml:space="preserve">A-4</t>
  </si>
  <si>
    <t xml:space="preserve">flange</t>
  </si>
  <si>
    <t xml:space="preserve">APAC</t>
  </si>
  <si>
    <t xml:space="preserve">TOTAL</t>
  </si>
  <si>
    <t xml:space="preserve">checks</t>
  </si>
  <si>
    <t xml:space="preserve">taxrate</t>
  </si>
  <si>
    <t xml:space="preserve">disc</t>
  </si>
  <si>
    <t xml:space="preserve">old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</si>
</sst>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\ hh:mm"/>
    <numFmt numFmtId="166" formatCode="yyyy/mm/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10</v>
      </c>
      <c r="D2" s="0" t="n">
        <v>12</v>
      </c>
      <c r="E2" s="0" t="s">
        <v>14</v>
      </c>
      <c r="F2" s="2" t="n">
        <v>46027</v>
      </c>
      <c r="G2" s="0" t="n">
        <f aca="false">C2*D2</f>
        <v>120</v>
      </c>
      <c r="H2" s="0" t="n">
        <f aca="false">G2*Rates!$B$1</f>
        <v>9.6</v>
      </c>
      <c r="I2" s="0" t="n">
        <f aca="false">G2+H2</f>
        <v>129.6</v>
      </c>
      <c r="J2" s="0" t="str">
        <f aca="false">IF(C2&gt;10,"BIG","small")</f>
        <v>small</v>
      </c>
      <c r="K2" s="0" t="n">
        <f aca="false">ROUND(D2*(1-VLOOKUP(E2,Rates!$A$4:$B$6,2,0)),2)</f>
        <v>10.8</v>
      </c>
      <c r="L2" s="0" t="n">
        <f aca="false">G2/SUM(G$2:G$5)</f>
        <v>0.325644504748982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n">
        <v>20</v>
      </c>
      <c r="D3" s="0" t="n">
        <v>6</v>
      </c>
      <c r="E3" s="0" t="s">
        <v>17</v>
      </c>
      <c r="F3" s="2" t="n">
        <v>46028</v>
      </c>
      <c r="G3" s="0" t="n">
        <f aca="false">C3*D3</f>
        <v>120</v>
      </c>
      <c r="H3" s="0" t="n">
        <f aca="false">G3*Rates!$B$1</f>
        <v>9.6</v>
      </c>
      <c r="I3" s="0" t="n">
        <f aca="false">G3+H3</f>
        <v>129.6</v>
      </c>
      <c r="J3" s="0" t="str">
        <f aca="false">IF(C3&gt;10,"BIG","small")</f>
        <v>BIG</v>
      </c>
      <c r="K3" s="0" t="n">
        <f aca="false">ROUND(D3*(1-VLOOKUP(E3,Rates!$A$4:$B$6,2,0)),2)</f>
        <v>5.7</v>
      </c>
      <c r="L3" s="0" t="n">
        <f aca="false">G3/SUM(G$2:G$5)</f>
        <v>0.325644504748982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n">
        <v>5</v>
      </c>
      <c r="D4" s="0" t="n">
        <v>3.5</v>
      </c>
      <c r="E4" s="0" t="s">
        <v>14</v>
      </c>
      <c r="F4" s="2" t="n">
        <v>46029</v>
      </c>
      <c r="G4" s="0" t="n">
        <f aca="false">C4*D4</f>
        <v>17.5</v>
      </c>
      <c r="H4" s="0" t="n">
        <f aca="false">G4*Rates!$B$1</f>
        <v>1.4</v>
      </c>
      <c r="I4" s="0" t="n">
        <f aca="false">G4+H4</f>
        <v>18.9</v>
      </c>
      <c r="J4" s="0" t="str">
        <f aca="false">IF(C4&gt;10,"BIG","small")</f>
        <v>small</v>
      </c>
      <c r="K4" s="0" t="n">
        <f aca="false">ROUND(D4*(1-VLOOKUP(E4,Rates!$A$4:$B$6,2,0)),2)</f>
        <v>3.15</v>
      </c>
      <c r="L4" s="0" t="n">
        <f aca="false">G4/SUM(G$2:G$5)</f>
        <v>0.0474898236092266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n">
        <v>12</v>
      </c>
      <c r="D5" s="0" t="n">
        <v>9.25</v>
      </c>
      <c r="E5" s="0" t="s">
        <v>22</v>
      </c>
      <c r="F5" s="2" t="n">
        <v>46030</v>
      </c>
      <c r="G5" s="0" t="n">
        <f aca="false">C5*D5</f>
        <v>111</v>
      </c>
      <c r="H5" s="0" t="n">
        <f aca="false">G5*Rates!$B$1</f>
        <v>8.88</v>
      </c>
      <c r="I5" s="0" t="n">
        <f aca="false">G5+H5</f>
        <v>119.88</v>
      </c>
      <c r="J5" s="0" t="str">
        <f aca="false">IF(C5&gt;10,"BIG","small")</f>
        <v>BIG</v>
      </c>
      <c r="K5" s="0" t="n">
        <f aca="false">ROUND(D5*(1-VLOOKUP(E5,Rates!$A$4:$B$6,2,0)),2)</f>
        <v>9.07</v>
      </c>
      <c r="L5" s="0" t="n">
        <f aca="false">G5/SUM(G$2:G$5)</f>
        <v>0.301221166892809</v>
      </c>
    </row>
    <row r="6" customFormat="false" ht="12.8" hidden="false" customHeight="false" outlineLevel="0" collapsed="false">
      <c r="A6" s="3" t="s">
        <v>23</v>
      </c>
      <c r="B6" s="3"/>
      <c r="C6" s="0" t="n">
        <f aca="false">SUM(C2:C5)</f>
        <v>47</v>
      </c>
      <c r="G6" s="0" t="n">
        <f aca="false">SUM(G2:G5)</f>
        <v>368.5</v>
      </c>
      <c r="H6" s="0" t="n">
        <f aca="false">SUM(H2:H5)</f>
        <v>29.48</v>
      </c>
      <c r="I6" s="0" t="n">
        <f aca="false">SUM(I2:I5)</f>
        <v>397.98</v>
      </c>
    </row>
    <row r="7" customFormat="false" ht="12.8" hidden="false" customHeight="false" outlineLevel="0" collapsed="false">
      <c r="A7" s="0" t="s">
        <v>24</v>
      </c>
      <c r="B7" s="0" t="str">
        <f aca="true">INDIRECT("G"&amp;ROW()-6)</f>
        <v>line_total</v>
      </c>
      <c r="C7" s="0" t="n">
        <f aca="true">SUM(OFFSET(G$2,0,0,4,1))</f>
        <v>368.5</v>
      </c>
      <c r="D7" s="0" t="n">
        <f aca="false">$G2</f>
        <v>120</v>
      </c>
      <c r="E7" s="0" t="n">
        <f aca="false">SUMIF(E$2:E$5,"EMEA",G$2:G$5)</f>
        <v>137.5</v>
      </c>
      <c r="F7" s="0" t="n">
        <f aca="false">Rates!B1</f>
        <v>0.08</v>
      </c>
      <c r="G7" s="0" t="n">
        <f aca="false">SUM(Archive!G2:G100)</f>
        <v>0</v>
      </c>
      <c r="H7" s="4" t="n">
        <f aca="true">TODAY()</f>
        <v>46262</v>
      </c>
      <c r="I7" s="0" t="n">
        <f aca="false">G2+G3+G4+G5</f>
        <v>368.5</v>
      </c>
      <c r="J7" s="0" t="str">
        <f aca="false">TEXT(F2,"YYYY-MM")</f>
        <v>2026-01</v>
      </c>
      <c r="K7" s="0" t="n">
        <f aca="false">SUM(C2:D5)</f>
        <v>77.75</v>
      </c>
      <c r="L7" s="0" t="n">
        <f aca="false">taxrate*G2</f>
        <v>9.6</v>
      </c>
    </row>
  </sheetData>
  <mergeCells count="1">
    <mergeCell ref="A6:B6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25</v>
      </c>
      <c r="B1" s="0" t="n">
        <v>0.08</v>
      </c>
    </row>
    <row r="3" customFormat="false" ht="12.8" hidden="false" customHeight="false" outlineLevel="0" collapsed="false">
      <c r="A3" s="0" t="s">
        <v>4</v>
      </c>
      <c r="B3" s="0" t="s">
        <v>26</v>
      </c>
    </row>
    <row r="4" customFormat="false" ht="12.8" hidden="false" customHeight="false" outlineLevel="0" collapsed="false">
      <c r="A4" s="0" t="s">
        <v>14</v>
      </c>
      <c r="B4" s="0" t="n">
        <v>0.1</v>
      </c>
    </row>
    <row r="5" customFormat="false" ht="12.8" hidden="false" customHeight="false" outlineLevel="0" collapsed="false">
      <c r="A5" s="0" t="s">
        <v>17</v>
      </c>
      <c r="B5" s="0" t="n">
        <v>0.05</v>
      </c>
    </row>
    <row r="6" customFormat="false" ht="12.8" hidden="false" customHeight="false" outlineLevel="0" collapsed="false">
      <c r="A6" s="0" t="s">
        <v>22</v>
      </c>
      <c r="B6" s="0" t="n">
        <v>0.02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27</v>
      </c>
      <c r="G1" s="0" t="n">
        <v>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